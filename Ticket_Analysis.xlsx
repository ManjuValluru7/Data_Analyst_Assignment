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feedbacks" sheetId="2" r:id="rId6"/>
  </sheets>
  <definedNames/>
  <calcPr/>
</workbook>
</file>

<file path=xl/sharedStrings.xml><?xml version="1.0" encoding="utf-8"?>
<sst xmlns="http://schemas.openxmlformats.org/spreadsheetml/2006/main" count="31" uniqueCount="23">
  <si>
    <t>ticket_id</t>
  </si>
  <si>
    <t>created_at</t>
  </si>
  <si>
    <t>closed_at</t>
  </si>
  <si>
    <t>outlet_id</t>
  </si>
  <si>
    <t>cms_id</t>
  </si>
  <si>
    <t xml:space="preserve">Same Day </t>
  </si>
  <si>
    <t>Same Hour</t>
  </si>
  <si>
    <t>Outlet Id</t>
  </si>
  <si>
    <t>Same Day Count</t>
  </si>
  <si>
    <t>Same Hour Count</t>
  </si>
  <si>
    <t>isu-sjd-457</t>
  </si>
  <si>
    <t>wrqy-juv-978</t>
  </si>
  <si>
    <t>vew-iuvd-12</t>
  </si>
  <si>
    <t>qer-fal-092</t>
  </si>
  <si>
    <t>abc-1234-xy</t>
  </si>
  <si>
    <t>8woh-k3u-23b</t>
  </si>
  <si>
    <t>tyu-mnb-321</t>
  </si>
  <si>
    <t>def-5678-zz</t>
  </si>
  <si>
    <t>poi-lkj-654</t>
  </si>
  <si>
    <t>ghi-9012-aa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</si>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</sst>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I1" s="2" t="s">
        <v>7</v>
      </c>
      <c r="J1" s="2" t="s">
        <v>8</v>
      </c>
      <c r="K1" s="2" t="s">
        <v>9</v>
      </c>
    </row>
    <row r="2">
      <c r="A2" s="3" t="s">
        <v>10</v>
      </c>
      <c r="B2" s="4">
        <v>44427.69841435185</v>
      </c>
      <c r="C2" s="4">
        <v>44430.52328703704</v>
      </c>
      <c r="D2" s="3" t="s">
        <v>11</v>
      </c>
      <c r="E2" s="3" t="s">
        <v>12</v>
      </c>
      <c r="F2" s="5" t="b">
        <f t="shared" ref="F2:F5" si="1">INT(B2)=INT(C2)</f>
        <v>0</v>
      </c>
      <c r="G2" s="5" t="b">
        <f t="shared" ref="G2:G5" si="2">AND(INT(B2)=INT(C2), HOUR(B2)=HOUR(C2))</f>
        <v>0</v>
      </c>
      <c r="I2" s="3" t="s">
        <v>11</v>
      </c>
      <c r="J2" s="5">
        <f t="shared" ref="J2:J3" si="3">COUNTIFS($D$2:$D$5,I2,$F$2:$F$5,TRUE)</f>
        <v>1</v>
      </c>
      <c r="K2" s="5">
        <f t="shared" ref="K2:K3" si="4">COUNTIFS($D$2:$D$5,I2,$G$2:$G$5,TRUE)</f>
        <v>1</v>
      </c>
    </row>
    <row r="3">
      <c r="A3" s="3" t="s">
        <v>13</v>
      </c>
      <c r="B3" s="4">
        <v>44429.464837962965</v>
      </c>
      <c r="C3" s="4">
        <v>44429.489583333336</v>
      </c>
      <c r="D3" s="3" t="s">
        <v>11</v>
      </c>
      <c r="E3" s="3" t="s">
        <v>14</v>
      </c>
      <c r="F3" s="5" t="b">
        <f t="shared" si="1"/>
        <v>1</v>
      </c>
      <c r="G3" s="5" t="b">
        <f t="shared" si="2"/>
        <v>1</v>
      </c>
      <c r="I3" s="3" t="s">
        <v>15</v>
      </c>
      <c r="J3" s="5">
        <f t="shared" si="3"/>
        <v>1</v>
      </c>
      <c r="K3" s="5">
        <f t="shared" si="4"/>
        <v>1</v>
      </c>
    </row>
    <row r="4">
      <c r="A4" s="3" t="s">
        <v>16</v>
      </c>
      <c r="B4" s="4">
        <v>44429.375</v>
      </c>
      <c r="C4" s="4">
        <v>44429.40972222222</v>
      </c>
      <c r="D4" s="3" t="s">
        <v>15</v>
      </c>
      <c r="E4" s="3" t="s">
        <v>17</v>
      </c>
      <c r="F4" s="5" t="b">
        <f t="shared" si="1"/>
        <v>1</v>
      </c>
      <c r="G4" s="5" t="b">
        <f t="shared" si="2"/>
        <v>1</v>
      </c>
    </row>
    <row r="5">
      <c r="A5" s="3" t="s">
        <v>18</v>
      </c>
      <c r="B5" s="4">
        <v>44430.583333333336</v>
      </c>
      <c r="C5" s="4">
        <v>44431.583333333336</v>
      </c>
      <c r="D5" s="3" t="s">
        <v>15</v>
      </c>
      <c r="E5" s="3" t="s">
        <v>19</v>
      </c>
      <c r="F5" s="5" t="b">
        <f t="shared" si="1"/>
        <v>0</v>
      </c>
      <c r="G5" s="5" t="b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20</v>
      </c>
      <c r="C1" s="1" t="s">
        <v>21</v>
      </c>
      <c r="D1" s="1" t="s">
        <v>22</v>
      </c>
    </row>
    <row r="2">
      <c r="A2" s="3" t="s">
        <v>12</v>
      </c>
      <c r="B2" s="4">
        <v>44429.560277777775</v>
      </c>
      <c r="C2" s="3">
        <v>3.0</v>
      </c>
      <c r="D2" s="6">
        <f t="array" ref="D2">INDEX(ticket!B:B, MATCH(A2, ticket!E:E, 0))</f>
        <v>44427.69841</v>
      </c>
    </row>
    <row r="3">
      <c r="A3" s="3" t="s">
        <v>14</v>
      </c>
      <c r="B3" s="4">
        <v>44430.416666666664</v>
      </c>
      <c r="C3" s="3">
        <v>5.0</v>
      </c>
      <c r="D3" s="6">
        <f t="array" ref="D3">INDEX(ticket!B:B, MATCH(A3, ticket!E:E, 0))</f>
        <v>44429.46484</v>
      </c>
    </row>
    <row r="4">
      <c r="A4" s="3" t="s">
        <v>17</v>
      </c>
      <c r="B4" s="4">
        <v>44431.458333333336</v>
      </c>
      <c r="C4" s="3">
        <v>4.0</v>
      </c>
      <c r="D4" s="6">
        <f t="array" ref="D4">INDEX(ticket!B:B, MATCH(A4, ticket!E:E, 0))</f>
        <v>44429.375</v>
      </c>
    </row>
  </sheetData>
  <drawing r:id="rId1"/>
</worksheet>
</file>